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o\Documents\"/>
    </mc:Choice>
  </mc:AlternateContent>
  <xr:revisionPtr revIDLastSave="0" documentId="13_ncr:1_{53E68AB3-E942-40B4-B7FC-8B043006AB02}" xr6:coauthVersionLast="47" xr6:coauthVersionMax="47" xr10:uidLastSave="{00000000-0000-0000-0000-000000000000}"/>
  <bookViews>
    <workbookView xWindow="-120" yWindow="330" windowWidth="29040" windowHeight="15990" xr2:uid="{DBBCF071-8C02-488D-80BA-3C8CAB5979FE}"/>
  </bookViews>
  <sheets>
    <sheet name="TAX QU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" i="1" l="1"/>
  <c r="C27" i="1"/>
  <c r="C8" i="1"/>
  <c r="C30" i="1"/>
  <c r="C11" i="1"/>
  <c r="C18" i="1"/>
  <c r="C21" i="1"/>
  <c r="C40" i="1"/>
  <c r="C44" i="1" s="1"/>
  <c r="C46" i="1" s="1"/>
</calcChain>
</file>

<file path=xl/sharedStrings.xml><?xml version="1.0" encoding="utf-8"?>
<sst xmlns="http://schemas.openxmlformats.org/spreadsheetml/2006/main" count="108" uniqueCount="39">
  <si>
    <t>TOTAL TAX:</t>
  </si>
  <si>
    <t>On the first ₱250,000.00</t>
  </si>
  <si>
    <t>TAX DUE:</t>
  </si>
  <si>
    <t>NET INCOME:</t>
  </si>
  <si>
    <t>MR. X INCOME OF 2023</t>
  </si>
  <si>
    <t>5.)</t>
  </si>
  <si>
    <t>On the first ₱800,000.00</t>
  </si>
  <si>
    <t>Salary and Wages</t>
  </si>
  <si>
    <t>PhilHealth</t>
  </si>
  <si>
    <t>Depreciation</t>
  </si>
  <si>
    <t>LESS:</t>
  </si>
  <si>
    <t>GROSS INCOME:</t>
  </si>
  <si>
    <t>XYZ COMPANY</t>
  </si>
  <si>
    <t>4.)</t>
  </si>
  <si>
    <t>On the remainder of ₱2,000,000.00 at 35%</t>
  </si>
  <si>
    <t>On the first ₱8,000,000.00</t>
  </si>
  <si>
    <t>3.)</t>
  </si>
  <si>
    <t>On the remainder of ₱500,000.00 at 30%</t>
  </si>
  <si>
    <t>On the first ₱2,000,000.00</t>
  </si>
  <si>
    <t>2.)</t>
  </si>
  <si>
    <t>1.)</t>
  </si>
  <si>
    <t>OF THE NET INCOME BEFORE TAX ARE AS FOLLOWS</t>
  </si>
  <si>
    <t xml:space="preserve">COMPUTE THE INCOME TAX OF THE TAXPAYER </t>
  </si>
  <si>
    <t>Annual Income</t>
  </si>
  <si>
    <t>Tax Rate</t>
  </si>
  <si>
    <t>250,000 and below</t>
  </si>
  <si>
    <t>Above 250,000 to 400,000</t>
  </si>
  <si>
    <t>Above 400,000 to 800,000</t>
  </si>
  <si>
    <t>Above 800,000 to 2,000,000</t>
  </si>
  <si>
    <t>Above 2,000,000 to 8,000,000</t>
  </si>
  <si>
    <t>Above 8,000,000</t>
  </si>
  <si>
    <t>15% of excess over 250,000</t>
  </si>
  <si>
    <t>22,500 + 20% of excess over 400,000</t>
  </si>
  <si>
    <t>None</t>
  </si>
  <si>
    <t>102,500 + 25% of excess over 800,000</t>
  </si>
  <si>
    <t>402,500 + 30% of excess over 2,000,000</t>
  </si>
  <si>
    <t>2.2025 million + 35% of excess over 8 million</t>
  </si>
  <si>
    <t>On the remainder of ₱1,185,000.00 at 25%</t>
  </si>
  <si>
    <t>On the remainder of ₱400,000.00 at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</si>
</sst>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sz val="11"/>
      <color theme="1"/>
      <name val="Bahnschrift"/>
      <family val="2"/>
    </font>
    <font>
      <b/>
      <sz val="10"/>
      <color theme="1"/>
      <name val="Courier New"/>
      <family val="3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2" fillId="0" borderId="0" xfId="0" applyNumberFormat="1" applyFont="1"/>
    <xf numFmtId="164" fontId="2" fillId="2" borderId="0" xfId="0" applyNumberFormat="1" applyFont="1" applyFill="1"/>
    <xf numFmtId="0" fontId="1" fillId="2" borderId="0" xfId="0" applyFont="1" applyFill="1" applyAlignment="1">
      <alignment horizontal="left" vertical="center"/>
    </xf>
    <xf numFmtId="164" fontId="2" fillId="3" borderId="0" xfId="0" applyNumberFormat="1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164" fontId="2" fillId="4" borderId="0" xfId="0" applyNumberFormat="1" applyFont="1" applyFill="1"/>
    <xf numFmtId="0" fontId="1" fillId="4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164" fontId="7" fillId="2" borderId="0" xfId="0" applyNumberFormat="1" applyFont="1" applyFill="1"/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2" fillId="5" borderId="0" xfId="0" applyFont="1" applyFill="1"/>
    <xf numFmtId="0" fontId="2" fillId="4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7130-8ED4-4670-97B9-EB17D040063E}">
  <dimension ref="A1:K54"/>
  <sheetViews>
    <sheetView tabSelected="1" workbookViewId="0">
      <selection activeCell="E21" sqref="E21"/>
    </sheetView>
  </sheetViews>
  <sheetFormatPr defaultRowHeight="15" x14ac:dyDescent="0.25"/>
  <cols>
    <col min="2" max="2" width="36.7109375" customWidth="1"/>
    <col min="3" max="3" width="18.42578125" style="1" customWidth="1"/>
    <col min="5" max="5" width="35.85546875" customWidth="1"/>
    <col min="6" max="6" width="52.140625" customWidth="1"/>
  </cols>
  <sheetData>
    <row r="1" spans="1:11" x14ac:dyDescent="0.25">
      <c r="A1" s="18" t="s">
        <v>22</v>
      </c>
      <c r="B1" s="18"/>
      <c r="C1" s="18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8" t="s">
        <v>21</v>
      </c>
      <c r="B2" s="18"/>
      <c r="C2" s="18"/>
      <c r="D2" s="15"/>
      <c r="E2" s="15"/>
      <c r="F2" s="15"/>
      <c r="G2" s="15"/>
      <c r="H2" s="15"/>
      <c r="I2" s="15"/>
      <c r="J2" s="15"/>
      <c r="K2" s="15"/>
    </row>
    <row r="4" spans="1:11" x14ac:dyDescent="0.25">
      <c r="A4" s="14" t="s">
        <v>20</v>
      </c>
      <c r="B4" s="9" t="s">
        <v>3</v>
      </c>
      <c r="C4" s="8">
        <v>1200000</v>
      </c>
    </row>
    <row r="5" spans="1:11" ht="15.75" x14ac:dyDescent="0.3">
      <c r="B5" s="7"/>
      <c r="C5" s="4"/>
      <c r="E5" s="19" t="s">
        <v>23</v>
      </c>
      <c r="F5" s="19" t="s">
        <v>24</v>
      </c>
    </row>
    <row r="6" spans="1:11" x14ac:dyDescent="0.25">
      <c r="B6" s="6" t="s">
        <v>2</v>
      </c>
      <c r="C6" s="4"/>
      <c r="E6" s="20" t="s">
        <v>25</v>
      </c>
      <c r="F6" s="20" t="s">
        <v>33</v>
      </c>
    </row>
    <row r="7" spans="1:11" x14ac:dyDescent="0.25">
      <c r="B7" s="5" t="s">
        <v>6</v>
      </c>
      <c r="C7" s="4">
        <v>102500</v>
      </c>
      <c r="E7" s="20" t="s">
        <v>26</v>
      </c>
      <c r="F7" s="20" t="s">
        <v>31</v>
      </c>
    </row>
    <row r="8" spans="1:11" x14ac:dyDescent="0.25">
      <c r="B8" s="5" t="s">
        <v>38</v>
      </c>
      <c r="C8" s="4">
        <f>(C4-800000)*25%</f>
        <v>100000</v>
      </c>
      <c r="E8" s="20" t="s">
        <v>27</v>
      </c>
      <c r="F8" s="20" t="s">
        <v>32</v>
      </c>
    </row>
    <row r="9" spans="1:11" x14ac:dyDescent="0.25">
      <c r="B9" s="5"/>
      <c r="C9" s="4"/>
      <c r="E9" s="21" t="s">
        <v>28</v>
      </c>
      <c r="F9" s="21" t="s">
        <v>34</v>
      </c>
    </row>
    <row r="10" spans="1:11" x14ac:dyDescent="0.25">
      <c r="B10" s="7"/>
      <c r="C10" s="4"/>
      <c r="E10" s="20" t="s">
        <v>29</v>
      </c>
      <c r="F10" s="20" t="s">
        <v>35</v>
      </c>
    </row>
    <row r="11" spans="1:11" x14ac:dyDescent="0.25">
      <c r="B11" s="3" t="s">
        <v>0</v>
      </c>
      <c r="C11" s="16">
        <f>SUM(C7:C9)</f>
        <v>202500</v>
      </c>
      <c r="E11" s="20" t="s">
        <v>30</v>
      </c>
      <c r="F11" s="20" t="s">
        <v>36</v>
      </c>
    </row>
    <row r="14" spans="1:11" x14ac:dyDescent="0.25">
      <c r="A14" t="s">
        <v>19</v>
      </c>
      <c r="B14" s="9" t="s">
        <v>3</v>
      </c>
      <c r="C14" s="8">
        <v>2500000</v>
      </c>
    </row>
    <row r="15" spans="1:11" ht="15.75" x14ac:dyDescent="0.3">
      <c r="B15" s="7"/>
      <c r="C15" s="4"/>
      <c r="E15" s="19" t="s">
        <v>23</v>
      </c>
      <c r="F15" s="19" t="s">
        <v>24</v>
      </c>
    </row>
    <row r="16" spans="1:11" x14ac:dyDescent="0.25">
      <c r="B16" s="6" t="s">
        <v>2</v>
      </c>
      <c r="C16" s="4"/>
      <c r="E16" s="20" t="s">
        <v>25</v>
      </c>
      <c r="F16" s="20" t="s">
        <v>33</v>
      </c>
    </row>
    <row r="17" spans="1:6" x14ac:dyDescent="0.25">
      <c r="B17" s="5" t="s">
        <v>18</v>
      </c>
      <c r="C17" s="4">
        <v>402500</v>
      </c>
      <c r="E17" s="20" t="s">
        <v>26</v>
      </c>
      <c r="F17" s="20" t="s">
        <v>31</v>
      </c>
    </row>
    <row r="18" spans="1:6" x14ac:dyDescent="0.25">
      <c r="B18" s="5" t="s">
        <v>17</v>
      </c>
      <c r="C18" s="4">
        <f>(C14-2000000)*30%</f>
        <v>150000</v>
      </c>
      <c r="E18" s="20" t="s">
        <v>27</v>
      </c>
      <c r="F18" s="20" t="s">
        <v>32</v>
      </c>
    </row>
    <row r="19" spans="1:6" x14ac:dyDescent="0.25">
      <c r="B19" s="5"/>
      <c r="C19" s="4"/>
      <c r="E19" s="20" t="s">
        <v>28</v>
      </c>
      <c r="F19" s="20" t="s">
        <v>34</v>
      </c>
    </row>
    <row r="20" spans="1:6" x14ac:dyDescent="0.25">
      <c r="B20" s="7"/>
      <c r="C20" s="4"/>
      <c r="E20" s="21" t="s">
        <v>29</v>
      </c>
      <c r="F20" s="21" t="s">
        <v>35</v>
      </c>
    </row>
    <row r="21" spans="1:6" x14ac:dyDescent="0.25">
      <c r="B21" s="3" t="s">
        <v>0</v>
      </c>
      <c r="C21" s="16">
        <f>SUM(C17:C19)</f>
        <v>552500</v>
      </c>
      <c r="E21" s="20" t="s">
        <v>30</v>
      </c>
      <c r="F21" s="20" t="s">
        <v>36</v>
      </c>
    </row>
    <row r="23" spans="1:6" x14ac:dyDescent="0.25">
      <c r="A23" t="s">
        <v>16</v>
      </c>
      <c r="B23" s="9" t="s">
        <v>3</v>
      </c>
      <c r="C23" s="8">
        <v>10000000</v>
      </c>
    </row>
    <row r="24" spans="1:6" ht="15.75" x14ac:dyDescent="0.3">
      <c r="B24" s="7"/>
      <c r="C24" s="4"/>
      <c r="E24" s="19" t="s">
        <v>23</v>
      </c>
      <c r="F24" s="19" t="s">
        <v>24</v>
      </c>
    </row>
    <row r="25" spans="1:6" x14ac:dyDescent="0.25">
      <c r="B25" s="6" t="s">
        <v>2</v>
      </c>
      <c r="C25" s="4"/>
      <c r="E25" s="20" t="s">
        <v>25</v>
      </c>
      <c r="F25" s="20" t="s">
        <v>33</v>
      </c>
    </row>
    <row r="26" spans="1:6" x14ac:dyDescent="0.25">
      <c r="B26" s="5" t="s">
        <v>15</v>
      </c>
      <c r="C26" s="4">
        <v>2202500</v>
      </c>
      <c r="E26" s="20" t="s">
        <v>26</v>
      </c>
      <c r="F26" s="20" t="s">
        <v>31</v>
      </c>
    </row>
    <row r="27" spans="1:6" x14ac:dyDescent="0.25">
      <c r="B27" s="5" t="s">
        <v>14</v>
      </c>
      <c r="C27" s="4">
        <f>(C23-8000000)*35%</f>
        <v>700000</v>
      </c>
      <c r="E27" s="20" t="s">
        <v>27</v>
      </c>
      <c r="F27" s="20" t="s">
        <v>32</v>
      </c>
    </row>
    <row r="28" spans="1:6" x14ac:dyDescent="0.25">
      <c r="B28" s="5"/>
      <c r="C28" s="4"/>
      <c r="E28" s="20" t="s">
        <v>28</v>
      </c>
      <c r="F28" s="20" t="s">
        <v>34</v>
      </c>
    </row>
    <row r="29" spans="1:6" x14ac:dyDescent="0.25">
      <c r="B29" s="7"/>
      <c r="C29" s="4"/>
      <c r="E29" s="20" t="s">
        <v>29</v>
      </c>
      <c r="F29" s="20" t="s">
        <v>35</v>
      </c>
    </row>
    <row r="30" spans="1:6" x14ac:dyDescent="0.25">
      <c r="B30" s="3" t="s">
        <v>0</v>
      </c>
      <c r="C30" s="16">
        <f>SUM(C26:C27)</f>
        <v>2902500</v>
      </c>
      <c r="E30" s="21" t="s">
        <v>30</v>
      </c>
      <c r="F30" s="21" t="s">
        <v>36</v>
      </c>
    </row>
    <row r="32" spans="1:6" ht="16.5" x14ac:dyDescent="0.3">
      <c r="A32" t="s">
        <v>13</v>
      </c>
      <c r="B32" s="17" t="s">
        <v>12</v>
      </c>
      <c r="C32" s="17"/>
      <c r="E32" s="22"/>
    </row>
    <row r="33" spans="1:6" x14ac:dyDescent="0.25">
      <c r="B33" s="12" t="s">
        <v>11</v>
      </c>
      <c r="C33" s="1">
        <v>2500000</v>
      </c>
      <c r="E33" s="22"/>
    </row>
    <row r="35" spans="1:6" x14ac:dyDescent="0.25">
      <c r="B35" s="13" t="s">
        <v>10</v>
      </c>
    </row>
    <row r="36" spans="1:6" ht="15.75" x14ac:dyDescent="0.3">
      <c r="B36" s="11" t="s">
        <v>9</v>
      </c>
      <c r="C36" s="1">
        <v>5000</v>
      </c>
      <c r="E36" s="19" t="s">
        <v>23</v>
      </c>
      <c r="F36" s="19" t="s">
        <v>24</v>
      </c>
    </row>
    <row r="37" spans="1:6" x14ac:dyDescent="0.25">
      <c r="B37" s="11" t="s">
        <v>8</v>
      </c>
      <c r="C37" s="1">
        <v>10000</v>
      </c>
      <c r="E37" s="20" t="s">
        <v>25</v>
      </c>
      <c r="F37" s="20" t="s">
        <v>33</v>
      </c>
    </row>
    <row r="38" spans="1:6" x14ac:dyDescent="0.25">
      <c r="B38" s="11" t="s">
        <v>7</v>
      </c>
      <c r="C38" s="1">
        <v>500000</v>
      </c>
      <c r="E38" s="20" t="s">
        <v>26</v>
      </c>
      <c r="F38" s="20" t="s">
        <v>31</v>
      </c>
    </row>
    <row r="39" spans="1:6" x14ac:dyDescent="0.25">
      <c r="E39" s="20" t="s">
        <v>27</v>
      </c>
      <c r="F39" s="20" t="s">
        <v>32</v>
      </c>
    </row>
    <row r="40" spans="1:6" x14ac:dyDescent="0.25">
      <c r="B40" s="3" t="s">
        <v>3</v>
      </c>
      <c r="C40" s="16">
        <f>C33-SUM(C36:C38)</f>
        <v>1985000</v>
      </c>
      <c r="E40" s="21" t="s">
        <v>28</v>
      </c>
      <c r="F40" s="21" t="s">
        <v>34</v>
      </c>
    </row>
    <row r="41" spans="1:6" x14ac:dyDescent="0.25">
      <c r="E41" s="20" t="s">
        <v>29</v>
      </c>
      <c r="F41" s="20" t="s">
        <v>35</v>
      </c>
    </row>
    <row r="42" spans="1:6" x14ac:dyDescent="0.25">
      <c r="B42" s="12" t="s">
        <v>2</v>
      </c>
      <c r="E42" s="20" t="s">
        <v>30</v>
      </c>
      <c r="F42" s="20" t="s">
        <v>36</v>
      </c>
    </row>
    <row r="43" spans="1:6" x14ac:dyDescent="0.25">
      <c r="B43" s="11" t="s">
        <v>6</v>
      </c>
      <c r="C43" s="1">
        <v>102500</v>
      </c>
    </row>
    <row r="44" spans="1:6" x14ac:dyDescent="0.25">
      <c r="B44" s="11" t="s">
        <v>37</v>
      </c>
      <c r="C44" s="1">
        <f>(C40-800000)*25%</f>
        <v>296250</v>
      </c>
      <c r="E44" s="22"/>
    </row>
    <row r="45" spans="1:6" x14ac:dyDescent="0.25">
      <c r="B45" s="11"/>
      <c r="D45" s="1"/>
      <c r="E45" s="22"/>
    </row>
    <row r="46" spans="1:6" x14ac:dyDescent="0.25">
      <c r="B46" s="3" t="s">
        <v>0</v>
      </c>
      <c r="C46" s="16">
        <f>SUM(C43:C44)</f>
        <v>398750</v>
      </c>
      <c r="D46" s="1"/>
    </row>
    <row r="47" spans="1:6" x14ac:dyDescent="0.25">
      <c r="D47" s="1"/>
    </row>
    <row r="48" spans="1:6" ht="15.75" x14ac:dyDescent="0.3">
      <c r="A48" t="s">
        <v>5</v>
      </c>
      <c r="B48" s="10" t="s">
        <v>4</v>
      </c>
      <c r="C48" s="10"/>
      <c r="D48" s="1"/>
      <c r="E48" s="19" t="s">
        <v>23</v>
      </c>
      <c r="F48" s="19" t="s">
        <v>24</v>
      </c>
    </row>
    <row r="49" spans="2:6" x14ac:dyDescent="0.25">
      <c r="B49" s="9" t="s">
        <v>3</v>
      </c>
      <c r="C49" s="8">
        <v>250000</v>
      </c>
      <c r="E49" s="21" t="s">
        <v>25</v>
      </c>
      <c r="F49" s="21" t="s">
        <v>33</v>
      </c>
    </row>
    <row r="50" spans="2:6" x14ac:dyDescent="0.25">
      <c r="B50" s="7"/>
      <c r="C50" s="4"/>
      <c r="E50" s="20" t="s">
        <v>26</v>
      </c>
      <c r="F50" s="20" t="s">
        <v>31</v>
      </c>
    </row>
    <row r="51" spans="2:6" x14ac:dyDescent="0.25">
      <c r="B51" s="6" t="s">
        <v>2</v>
      </c>
      <c r="C51" s="4"/>
      <c r="E51" s="20" t="s">
        <v>27</v>
      </c>
      <c r="F51" s="20" t="s">
        <v>32</v>
      </c>
    </row>
    <row r="52" spans="2:6" x14ac:dyDescent="0.25">
      <c r="B52" s="5" t="s">
        <v>1</v>
      </c>
      <c r="C52" s="4">
        <v>0</v>
      </c>
      <c r="E52" s="20" t="s">
        <v>28</v>
      </c>
      <c r="F52" s="20" t="s">
        <v>34</v>
      </c>
    </row>
    <row r="53" spans="2:6" x14ac:dyDescent="0.25">
      <c r="B53" s="5"/>
      <c r="C53" s="4"/>
      <c r="E53" s="20" t="s">
        <v>29</v>
      </c>
      <c r="F53" s="20" t="s">
        <v>35</v>
      </c>
    </row>
    <row r="54" spans="2:6" x14ac:dyDescent="0.25">
      <c r="B54" s="3" t="s">
        <v>0</v>
      </c>
      <c r="C54" s="2">
        <f>SUM(C52)</f>
        <v>0</v>
      </c>
      <c r="E54" s="20" t="s">
        <v>30</v>
      </c>
      <c r="F54" s="20" t="s">
        <v>36</v>
      </c>
    </row>
  </sheetData>
  <mergeCells count="3">
    <mergeCell ref="B32:C32"/>
    <mergeCell ref="A2:C2"/>
    <mergeCell ref="A1:C1"/>
  </mergeCells>
  <phoneticPr fontId="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Asrio</dc:creator>
  <cp:lastModifiedBy>Asrio</cp:lastModifiedBy>
  <dcterms:created xsi:type="dcterms:W3CDTF">2023-11-19T13:41:02Z</dcterms:created>
  <dcterms:modified xsi:type="dcterms:W3CDTF">2023-11-20T18:42:01Z</dcterms:modified>
</cp:coreProperties>
</file>