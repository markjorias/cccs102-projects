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rio\Documents\TAXATION\"/>
    </mc:Choice>
  </mc:AlternateContent>
  <xr:revisionPtr revIDLastSave="0" documentId="13_ncr:1_{24A2B394-8F42-49CA-8A44-C153FF982408}" xr6:coauthVersionLast="47" xr6:coauthVersionMax="47" xr10:uidLastSave="{00000000-0000-0000-0000-000000000000}"/>
  <bookViews>
    <workbookView xWindow="14400" yWindow="450" windowWidth="14400" windowHeight="15750" xr2:uid="{DBBCF071-8C02-488D-80BA-3C8CAB5979FE}"/>
  </bookViews>
  <sheets>
    <sheet name="TAX QU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5" i="1" l="1"/>
  <c r="C54" i="1"/>
  <c r="C51" i="1"/>
  <c r="C29" i="1"/>
  <c r="C40" i="1"/>
  <c r="C43" i="1" s="1"/>
  <c r="C44" i="1" s="1"/>
  <c r="C26" i="1"/>
  <c r="C13" i="1"/>
  <c r="C17" i="1" s="1"/>
  <c r="C7" i="1"/>
  <c r="C8" i="1" s="1"/>
  <c r="C57" i="1" l="1"/>
  <c r="C32" i="1"/>
  <c r="C68" i="1"/>
  <c r="C69" i="1" s="1"/>
</calcChain>
</file>

<file path=xl/sharedStrings.xml><?xml version="1.0" encoding="utf-8"?>
<sst xmlns="http://schemas.openxmlformats.org/spreadsheetml/2006/main" count="83" uniqueCount="47">
  <si>
    <t>TAX DUE:</t>
  </si>
  <si>
    <t>5.)</t>
  </si>
  <si>
    <t>LESS:</t>
  </si>
  <si>
    <t>4.)</t>
  </si>
  <si>
    <t>3.)</t>
  </si>
  <si>
    <t>On the first ₱2,000,000.00</t>
  </si>
  <si>
    <t>2.)</t>
  </si>
  <si>
    <t>1.)</t>
  </si>
  <si>
    <t>Annual Income</t>
  </si>
  <si>
    <t>Tax Rate</t>
  </si>
  <si>
    <t>250,000 and below</t>
  </si>
  <si>
    <t>Above 250,000 to 400,000</t>
  </si>
  <si>
    <t>Above 400,000 to 800,000</t>
  </si>
  <si>
    <t>Above 800,000 to 2,000,000</t>
  </si>
  <si>
    <t>Above 2,000,000 to 8,000,000</t>
  </si>
  <si>
    <t>Above 8,000,000</t>
  </si>
  <si>
    <t>15% of excess over 250,000</t>
  </si>
  <si>
    <t>22,500 + 20% of excess over 400,000</t>
  </si>
  <si>
    <t>None</t>
  </si>
  <si>
    <t>102,500 + 25% of excess over 800,000</t>
  </si>
  <si>
    <t>402,500 + 30% of excess over 2,000,000</t>
  </si>
  <si>
    <t>2.2025 million + 35% of excess over 8 million</t>
  </si>
  <si>
    <t xml:space="preserve">GROSS INCOME </t>
  </si>
  <si>
    <t xml:space="preserve">ELECTRICITY </t>
  </si>
  <si>
    <t xml:space="preserve">WATER BILL </t>
  </si>
  <si>
    <t>RENTS</t>
  </si>
  <si>
    <t>WITHOLDING TAX</t>
  </si>
  <si>
    <t>GROSS INCOME</t>
  </si>
  <si>
    <t xml:space="preserve">RENT </t>
  </si>
  <si>
    <t xml:space="preserve">MAINTENANCE </t>
  </si>
  <si>
    <t xml:space="preserve">CHARITY GIVING </t>
  </si>
  <si>
    <t xml:space="preserve">SALARY FOR STAFF </t>
  </si>
  <si>
    <t>On the remainder of ₱3,500,500 at 30%</t>
  </si>
  <si>
    <t>TOTAL INCOME TAX DUE:</t>
  </si>
  <si>
    <t>On the remainder of ₱2,500,000 at 30%</t>
  </si>
  <si>
    <t>NONE</t>
  </si>
  <si>
    <t>TOTAL:</t>
  </si>
  <si>
    <t>On the first ₱400,000</t>
  </si>
  <si>
    <t>On the remainder of ₱145,000 at 20%</t>
  </si>
  <si>
    <t>On the remainder of ₱160,000 at 20%</t>
  </si>
  <si>
    <t>2023 TAX TABLE</t>
  </si>
  <si>
    <t>COMPUTE THE INCOME TAX DUE</t>
  </si>
  <si>
    <t>USING THE TAX TABLE FOR 2023 0NWARD.</t>
  </si>
  <si>
    <t>EXPENSES:</t>
  </si>
  <si>
    <t>On the first ₱250,000</t>
  </si>
  <si>
    <t>On the remainder of ₱105,000 at 15%</t>
  </si>
  <si>
    <t>On the remainder of ₱105,00 at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</si>
</sst>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i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Bahnschrift"/>
      <family val="2"/>
    </font>
    <font>
      <b/>
      <sz val="10"/>
      <color theme="1"/>
      <name val="Courier New"/>
      <family val="3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ourier New"/>
      <family val="3"/>
    </font>
    <font>
      <b/>
      <sz val="11"/>
      <name val="Courier New"/>
      <family val="3"/>
    </font>
    <font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6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2" fillId="0" borderId="0" xfId="0" applyNumberFormat="1" applyFont="1"/>
    <xf numFmtId="0" fontId="1" fillId="0" borderId="0" xfId="0" applyFont="1"/>
    <xf numFmtId="0" fontId="5" fillId="0" borderId="0" xfId="0" applyFont="1"/>
    <xf numFmtId="164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Font="1" applyFill="1"/>
    <xf numFmtId="164" fontId="2" fillId="0" borderId="0" xfId="0" applyNumberFormat="1" applyFont="1" applyFill="1"/>
    <xf numFmtId="3" fontId="0" fillId="0" borderId="0" xfId="0" applyNumberFormat="1"/>
    <xf numFmtId="164" fontId="9" fillId="0" borderId="0" xfId="0" applyNumberFormat="1" applyFont="1" applyFill="1"/>
    <xf numFmtId="0" fontId="8" fillId="0" borderId="0" xfId="0" applyFont="1" applyFill="1"/>
    <xf numFmtId="0" fontId="10" fillId="0" borderId="0" xfId="0" applyFont="1" applyFill="1" applyAlignment="1">
      <alignment horizontal="center"/>
    </xf>
    <xf numFmtId="0" fontId="9" fillId="0" borderId="0" xfId="0" applyFont="1" applyFill="1"/>
    <xf numFmtId="0" fontId="11" fillId="0" borderId="0" xfId="0" applyFont="1" applyFill="1" applyAlignment="1">
      <alignment horizontal="left" vertical="center"/>
    </xf>
    <xf numFmtId="164" fontId="8" fillId="0" borderId="0" xfId="0" applyNumberFormat="1" applyFont="1" applyFill="1"/>
    <xf numFmtId="0" fontId="0" fillId="0" borderId="0" xfId="0" applyBorder="1"/>
    <xf numFmtId="0" fontId="1" fillId="0" borderId="0" xfId="0" applyFont="1" applyBorder="1"/>
    <xf numFmtId="0" fontId="3" fillId="2" borderId="0" xfId="0" applyFont="1" applyFill="1" applyBorder="1" applyAlignment="1">
      <alignment horizontal="left" vertical="center"/>
    </xf>
    <xf numFmtId="0" fontId="0" fillId="0" borderId="1" xfId="0" applyBorder="1"/>
    <xf numFmtId="0" fontId="1" fillId="0" borderId="2" xfId="0" applyFont="1" applyBorder="1"/>
    <xf numFmtId="164" fontId="2" fillId="0" borderId="3" xfId="0" applyNumberFormat="1" applyFont="1" applyBorder="1"/>
    <xf numFmtId="0" fontId="0" fillId="0" borderId="4" xfId="0" applyBorder="1"/>
    <xf numFmtId="164" fontId="2" fillId="0" borderId="5" xfId="0" applyNumberFormat="1" applyFont="1" applyBorder="1"/>
    <xf numFmtId="164" fontId="2" fillId="2" borderId="5" xfId="0" applyNumberFormat="1" applyFont="1" applyFill="1" applyBorder="1"/>
    <xf numFmtId="0" fontId="0" fillId="0" borderId="6" xfId="0" applyBorder="1"/>
    <xf numFmtId="0" fontId="1" fillId="0" borderId="0" xfId="0" applyFont="1" applyFill="1" applyBorder="1"/>
    <xf numFmtId="0" fontId="0" fillId="2" borderId="0" xfId="0" applyFont="1" applyFill="1" applyBorder="1"/>
    <xf numFmtId="0" fontId="1" fillId="0" borderId="7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8" xfId="0" applyFont="1" applyFill="1" applyBorder="1"/>
    <xf numFmtId="164" fontId="6" fillId="5" borderId="8" xfId="0" applyNumberFormat="1" applyFont="1" applyFill="1" applyBorder="1"/>
    <xf numFmtId="164" fontId="1" fillId="5" borderId="8" xfId="0" applyNumberFormat="1" applyFont="1" applyFill="1" applyBorder="1" applyAlignment="1">
      <alignment horizontal="center"/>
    </xf>
    <xf numFmtId="164" fontId="2" fillId="5" borderId="8" xfId="0" applyNumberFormat="1" applyFont="1" applyFill="1" applyBorder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7130-8ED4-4670-97B9-EB17D040063E}">
  <dimension ref="A1:K98"/>
  <sheetViews>
    <sheetView tabSelected="1" topLeftCell="A43" zoomScaleNormal="100" workbookViewId="0">
      <selection activeCell="E55" sqref="E55"/>
    </sheetView>
  </sheetViews>
  <sheetFormatPr defaultRowHeight="15" x14ac:dyDescent="0.25"/>
  <cols>
    <col min="2" max="2" width="36.7109375" customWidth="1"/>
    <col min="3" max="3" width="18.42578125" style="1" customWidth="1"/>
    <col min="5" max="5" width="35.85546875" customWidth="1"/>
    <col min="6" max="6" width="54.42578125" customWidth="1"/>
    <col min="8" max="8" width="9.140625" customWidth="1"/>
  </cols>
  <sheetData>
    <row r="1" spans="1:11" ht="15.75" thickBot="1" x14ac:dyDescent="0.3">
      <c r="A1" s="40" t="s">
        <v>41</v>
      </c>
      <c r="B1" s="40"/>
      <c r="C1" s="40"/>
      <c r="D1" s="3"/>
      <c r="E1" s="3"/>
      <c r="F1" s="3"/>
      <c r="G1" s="3"/>
      <c r="H1" s="3"/>
      <c r="I1" s="3"/>
      <c r="J1" s="3"/>
      <c r="K1" s="3"/>
    </row>
    <row r="2" spans="1:11" x14ac:dyDescent="0.25">
      <c r="A2" s="40" t="s">
        <v>42</v>
      </c>
      <c r="B2" s="40"/>
      <c r="C2" s="40"/>
      <c r="D2" s="3"/>
      <c r="E2" s="41" t="s">
        <v>40</v>
      </c>
      <c r="F2" s="42"/>
      <c r="G2" s="3"/>
      <c r="H2" s="3"/>
      <c r="I2" s="3"/>
      <c r="J2" s="3"/>
      <c r="K2" s="3"/>
    </row>
    <row r="3" spans="1:11" ht="16.5" thickBot="1" x14ac:dyDescent="0.35">
      <c r="E3" s="29" t="s">
        <v>8</v>
      </c>
      <c r="F3" s="30" t="s">
        <v>9</v>
      </c>
    </row>
    <row r="4" spans="1:11" x14ac:dyDescent="0.25">
      <c r="A4" s="18" t="s">
        <v>7</v>
      </c>
      <c r="B4" s="19" t="s">
        <v>27</v>
      </c>
      <c r="C4" s="20">
        <v>5500500</v>
      </c>
      <c r="D4" s="10"/>
      <c r="E4" s="31" t="s">
        <v>10</v>
      </c>
      <c r="F4" s="32" t="s">
        <v>18</v>
      </c>
    </row>
    <row r="5" spans="1:11" x14ac:dyDescent="0.25">
      <c r="A5" s="21"/>
      <c r="B5" s="16" t="s">
        <v>0</v>
      </c>
      <c r="C5" s="22"/>
      <c r="D5" s="10"/>
      <c r="E5" s="33" t="s">
        <v>11</v>
      </c>
      <c r="F5" s="34" t="s">
        <v>16</v>
      </c>
    </row>
    <row r="6" spans="1:11" x14ac:dyDescent="0.25">
      <c r="A6" s="21"/>
      <c r="B6" s="17" t="s">
        <v>5</v>
      </c>
      <c r="C6" s="23">
        <v>402500</v>
      </c>
      <c r="D6" s="10"/>
      <c r="E6" s="33" t="s">
        <v>12</v>
      </c>
      <c r="F6" s="34" t="s">
        <v>17</v>
      </c>
    </row>
    <row r="7" spans="1:11" x14ac:dyDescent="0.25">
      <c r="A7" s="21"/>
      <c r="B7" s="17" t="s">
        <v>32</v>
      </c>
      <c r="C7" s="23">
        <f>(C4-2000000)*30%</f>
        <v>1050150</v>
      </c>
      <c r="D7" s="10"/>
      <c r="E7" s="33" t="s">
        <v>13</v>
      </c>
      <c r="F7" s="34" t="s">
        <v>19</v>
      </c>
    </row>
    <row r="8" spans="1:11" ht="15.75" thickBot="1" x14ac:dyDescent="0.3">
      <c r="A8" s="24"/>
      <c r="B8" s="27" t="s">
        <v>33</v>
      </c>
      <c r="C8" s="37">
        <f>SUM(C6:C7)</f>
        <v>1452650</v>
      </c>
      <c r="D8" s="10"/>
      <c r="E8" s="33" t="s">
        <v>14</v>
      </c>
      <c r="F8" s="34" t="s">
        <v>20</v>
      </c>
    </row>
    <row r="9" spans="1:11" ht="15.75" thickBot="1" x14ac:dyDescent="0.3">
      <c r="D9" s="10"/>
      <c r="E9" s="35" t="s">
        <v>15</v>
      </c>
      <c r="F9" s="36" t="s">
        <v>21</v>
      </c>
    </row>
    <row r="10" spans="1:11" x14ac:dyDescent="0.25">
      <c r="A10" s="18" t="s">
        <v>6</v>
      </c>
      <c r="B10" s="19" t="s">
        <v>27</v>
      </c>
      <c r="C10" s="20">
        <v>4500000</v>
      </c>
      <c r="D10" s="10"/>
      <c r="E10" s="12"/>
      <c r="F10" s="12"/>
    </row>
    <row r="11" spans="1:11" x14ac:dyDescent="0.25">
      <c r="A11" s="21"/>
      <c r="B11" s="16" t="s">
        <v>0</v>
      </c>
      <c r="C11" s="22"/>
      <c r="D11" s="10"/>
      <c r="E11" s="12"/>
      <c r="F11" s="12"/>
    </row>
    <row r="12" spans="1:11" x14ac:dyDescent="0.25">
      <c r="A12" s="21"/>
      <c r="B12" s="17" t="s">
        <v>5</v>
      </c>
      <c r="C12" s="22">
        <v>402500</v>
      </c>
      <c r="D12" s="10"/>
      <c r="E12" s="10"/>
      <c r="F12" s="10"/>
    </row>
    <row r="13" spans="1:11" x14ac:dyDescent="0.25">
      <c r="A13" s="21"/>
      <c r="B13" s="17" t="s">
        <v>34</v>
      </c>
      <c r="C13" s="22">
        <f>(C10-2000000)*30%</f>
        <v>750000</v>
      </c>
      <c r="D13" s="10"/>
      <c r="E13" s="10"/>
      <c r="F13" s="10"/>
    </row>
    <row r="14" spans="1:11" x14ac:dyDescent="0.25">
      <c r="A14" s="21"/>
      <c r="B14" s="15"/>
      <c r="C14" s="22"/>
      <c r="D14" s="10"/>
      <c r="E14" s="10"/>
      <c r="F14" s="10"/>
    </row>
    <row r="15" spans="1:11" ht="15.75" x14ac:dyDescent="0.3">
      <c r="A15" s="21"/>
      <c r="B15" s="25" t="s">
        <v>2</v>
      </c>
      <c r="C15" s="22"/>
      <c r="D15" s="10"/>
      <c r="E15" s="11"/>
      <c r="F15" s="11"/>
    </row>
    <row r="16" spans="1:11" x14ac:dyDescent="0.25">
      <c r="A16" s="21"/>
      <c r="B16" s="26" t="s">
        <v>26</v>
      </c>
      <c r="C16" s="23">
        <v>500000</v>
      </c>
      <c r="D16" s="10"/>
      <c r="E16" s="12"/>
      <c r="F16" s="12"/>
    </row>
    <row r="17" spans="1:6" ht="15.75" thickBot="1" x14ac:dyDescent="0.3">
      <c r="A17" s="24"/>
      <c r="B17" s="27" t="s">
        <v>33</v>
      </c>
      <c r="C17" s="37">
        <f>SUM(C12:C13)-C16</f>
        <v>652500</v>
      </c>
      <c r="D17" s="10"/>
      <c r="E17" s="12"/>
      <c r="F17" s="12"/>
    </row>
    <row r="18" spans="1:6" ht="15.75" thickBot="1" x14ac:dyDescent="0.3">
      <c r="D18" s="10"/>
      <c r="E18" s="12"/>
      <c r="F18" s="12"/>
    </row>
    <row r="19" spans="1:6" x14ac:dyDescent="0.25">
      <c r="A19" s="18" t="s">
        <v>4</v>
      </c>
      <c r="B19" s="19" t="s">
        <v>22</v>
      </c>
      <c r="C19" s="20">
        <v>75000</v>
      </c>
      <c r="D19" s="10"/>
      <c r="E19" s="12"/>
      <c r="F19" s="12"/>
    </row>
    <row r="20" spans="1:6" ht="15.75" thickBot="1" x14ac:dyDescent="0.3">
      <c r="A20" s="24"/>
      <c r="B20" s="27" t="s">
        <v>33</v>
      </c>
      <c r="C20" s="38" t="s">
        <v>35</v>
      </c>
      <c r="D20" s="10"/>
      <c r="E20" s="12"/>
      <c r="F20" s="12"/>
    </row>
    <row r="21" spans="1:6" ht="15.75" thickBot="1" x14ac:dyDescent="0.3">
      <c r="D21" s="10"/>
      <c r="E21" s="12"/>
      <c r="F21" s="12"/>
    </row>
    <row r="22" spans="1:6" x14ac:dyDescent="0.25">
      <c r="A22" s="18" t="s">
        <v>3</v>
      </c>
      <c r="B22" s="19" t="s">
        <v>22</v>
      </c>
      <c r="C22" s="20">
        <v>450000</v>
      </c>
      <c r="D22" s="10"/>
      <c r="E22" s="10"/>
      <c r="F22" s="10"/>
    </row>
    <row r="23" spans="1:6" x14ac:dyDescent="0.25">
      <c r="A23" s="21"/>
      <c r="B23" s="15" t="s">
        <v>25</v>
      </c>
      <c r="C23" s="22">
        <v>50000</v>
      </c>
      <c r="D23" s="10"/>
      <c r="E23" s="10"/>
      <c r="F23" s="10"/>
    </row>
    <row r="24" spans="1:6" ht="15.75" x14ac:dyDescent="0.3">
      <c r="A24" s="21"/>
      <c r="B24" s="15" t="s">
        <v>23</v>
      </c>
      <c r="C24" s="22">
        <v>25000</v>
      </c>
      <c r="D24" s="10"/>
      <c r="E24" s="11"/>
      <c r="F24" s="11"/>
    </row>
    <row r="25" spans="1:6" x14ac:dyDescent="0.25">
      <c r="A25" s="21"/>
      <c r="B25" s="15" t="s">
        <v>24</v>
      </c>
      <c r="C25" s="22">
        <v>20000</v>
      </c>
      <c r="D25" s="10"/>
      <c r="E25" s="12"/>
      <c r="F25" s="12"/>
    </row>
    <row r="26" spans="1:6" x14ac:dyDescent="0.25">
      <c r="A26" s="21"/>
      <c r="B26" s="28" t="s">
        <v>36</v>
      </c>
      <c r="C26" s="22">
        <f>SUM(C22:C25)</f>
        <v>545000</v>
      </c>
      <c r="D26" s="10"/>
      <c r="E26" s="12"/>
      <c r="F26" s="12"/>
    </row>
    <row r="27" spans="1:6" x14ac:dyDescent="0.25">
      <c r="A27" s="21"/>
      <c r="B27" s="16" t="s">
        <v>0</v>
      </c>
      <c r="C27" s="22"/>
      <c r="D27" s="10"/>
      <c r="E27" s="12"/>
      <c r="F27" s="12"/>
    </row>
    <row r="28" spans="1:6" x14ac:dyDescent="0.25">
      <c r="A28" s="21"/>
      <c r="B28" s="17" t="s">
        <v>37</v>
      </c>
      <c r="C28" s="22">
        <v>22500</v>
      </c>
      <c r="D28" s="10"/>
      <c r="E28" s="12"/>
      <c r="F28" s="12"/>
    </row>
    <row r="29" spans="1:6" x14ac:dyDescent="0.25">
      <c r="A29" s="21"/>
      <c r="B29" s="17" t="s">
        <v>38</v>
      </c>
      <c r="C29" s="22">
        <f>(C26-400000)*20%</f>
        <v>29000</v>
      </c>
      <c r="D29" s="10"/>
      <c r="E29" s="12"/>
      <c r="F29" s="12"/>
    </row>
    <row r="30" spans="1:6" x14ac:dyDescent="0.25">
      <c r="A30" s="21"/>
      <c r="B30" s="25" t="s">
        <v>2</v>
      </c>
      <c r="C30" s="22"/>
      <c r="D30" s="10"/>
      <c r="E30" s="12"/>
      <c r="F30" s="12"/>
    </row>
    <row r="31" spans="1:6" x14ac:dyDescent="0.25">
      <c r="A31" s="21"/>
      <c r="B31" s="26" t="s">
        <v>26</v>
      </c>
      <c r="C31" s="23">
        <v>55000</v>
      </c>
      <c r="D31" s="10"/>
      <c r="E31" s="10"/>
      <c r="F31" s="10"/>
    </row>
    <row r="32" spans="1:6" ht="15.75" thickBot="1" x14ac:dyDescent="0.3">
      <c r="A32" s="24"/>
      <c r="B32" s="27" t="s">
        <v>33</v>
      </c>
      <c r="C32" s="39">
        <f>SUM(C28:C29)-C31</f>
        <v>-3500</v>
      </c>
      <c r="D32" s="10"/>
      <c r="E32" s="14"/>
      <c r="F32" s="10"/>
    </row>
    <row r="33" spans="1:6" x14ac:dyDescent="0.25">
      <c r="D33" s="10"/>
      <c r="E33" s="14"/>
      <c r="F33" s="10"/>
    </row>
    <row r="34" spans="1:6" ht="15.75" thickBot="1" x14ac:dyDescent="0.3">
      <c r="D34" s="10"/>
      <c r="E34" s="10"/>
      <c r="F34" s="10"/>
    </row>
    <row r="35" spans="1:6" x14ac:dyDescent="0.25">
      <c r="A35" s="18" t="s">
        <v>1</v>
      </c>
      <c r="B35" s="19" t="s">
        <v>22</v>
      </c>
      <c r="C35" s="20">
        <v>450000</v>
      </c>
      <c r="D35" s="10"/>
      <c r="E35" s="10"/>
      <c r="F35" s="10"/>
    </row>
    <row r="36" spans="1:6" ht="15.75" x14ac:dyDescent="0.3">
      <c r="A36" s="21"/>
      <c r="B36" s="15" t="s">
        <v>28</v>
      </c>
      <c r="C36" s="22">
        <v>50000</v>
      </c>
      <c r="D36" s="10"/>
      <c r="E36" s="11"/>
      <c r="F36" s="11"/>
    </row>
    <row r="37" spans="1:6" x14ac:dyDescent="0.25">
      <c r="A37" s="21"/>
      <c r="B37" s="15" t="s">
        <v>29</v>
      </c>
      <c r="C37" s="22">
        <v>20000</v>
      </c>
      <c r="D37" s="10"/>
      <c r="E37" s="12"/>
      <c r="F37" s="12"/>
    </row>
    <row r="38" spans="1:6" x14ac:dyDescent="0.25">
      <c r="A38" s="21"/>
      <c r="B38" s="15" t="s">
        <v>31</v>
      </c>
      <c r="C38" s="22">
        <v>25000</v>
      </c>
      <c r="D38" s="10"/>
      <c r="E38" s="12"/>
      <c r="F38" s="12"/>
    </row>
    <row r="39" spans="1:6" x14ac:dyDescent="0.25">
      <c r="A39" s="21"/>
      <c r="B39" s="15" t="s">
        <v>30</v>
      </c>
      <c r="C39" s="22">
        <v>15000</v>
      </c>
      <c r="D39" s="10"/>
      <c r="E39" s="12"/>
      <c r="F39" s="12"/>
    </row>
    <row r="40" spans="1:6" x14ac:dyDescent="0.25">
      <c r="A40" s="21"/>
      <c r="B40" s="28" t="s">
        <v>36</v>
      </c>
      <c r="C40" s="22">
        <f>SUM(C35:C39)</f>
        <v>560000</v>
      </c>
      <c r="D40" s="10"/>
      <c r="E40" s="12"/>
      <c r="F40" s="12"/>
    </row>
    <row r="41" spans="1:6" x14ac:dyDescent="0.25">
      <c r="A41" s="21"/>
      <c r="B41" s="16" t="s">
        <v>0</v>
      </c>
      <c r="C41" s="22"/>
      <c r="D41" s="10"/>
      <c r="E41" s="12"/>
      <c r="F41" s="12"/>
    </row>
    <row r="42" spans="1:6" x14ac:dyDescent="0.25">
      <c r="A42" s="21"/>
      <c r="B42" s="17" t="s">
        <v>37</v>
      </c>
      <c r="C42" s="22">
        <v>22500</v>
      </c>
      <c r="D42" s="10"/>
      <c r="E42" s="12"/>
      <c r="F42" s="12"/>
    </row>
    <row r="43" spans="1:6" x14ac:dyDescent="0.25">
      <c r="A43" s="21"/>
      <c r="B43" s="17" t="s">
        <v>39</v>
      </c>
      <c r="C43" s="22">
        <f>(C40-400000)*20%</f>
        <v>32000</v>
      </c>
      <c r="D43" s="10"/>
      <c r="E43" s="10"/>
      <c r="F43" s="10"/>
    </row>
    <row r="44" spans="1:6" ht="15.75" thickBot="1" x14ac:dyDescent="0.3">
      <c r="A44" s="24"/>
      <c r="B44" s="27" t="s">
        <v>33</v>
      </c>
      <c r="C44" s="39">
        <f>SUM(C42:C43)-C98</f>
        <v>54500</v>
      </c>
      <c r="D44" s="10"/>
      <c r="E44" s="14"/>
      <c r="F44" s="10"/>
    </row>
    <row r="45" spans="1:6" ht="15.75" thickBot="1" x14ac:dyDescent="0.3">
      <c r="A45" s="10"/>
      <c r="B45" s="13"/>
      <c r="C45" s="9"/>
      <c r="D45" s="9"/>
      <c r="E45" s="14"/>
      <c r="F45" s="10"/>
    </row>
    <row r="46" spans="1:6" x14ac:dyDescent="0.25">
      <c r="A46" s="18" t="s">
        <v>3</v>
      </c>
      <c r="B46" s="19" t="s">
        <v>22</v>
      </c>
      <c r="C46" s="20">
        <v>450000</v>
      </c>
      <c r="D46" s="9"/>
      <c r="E46" s="10"/>
      <c r="F46" s="10"/>
    </row>
    <row r="47" spans="1:6" x14ac:dyDescent="0.25">
      <c r="B47" s="2" t="s">
        <v>43</v>
      </c>
      <c r="D47" s="9"/>
      <c r="E47" s="10"/>
      <c r="F47" s="10"/>
    </row>
    <row r="48" spans="1:6" ht="15.75" x14ac:dyDescent="0.3">
      <c r="A48" s="21"/>
      <c r="B48" s="15" t="s">
        <v>25</v>
      </c>
      <c r="C48" s="22">
        <v>50000</v>
      </c>
      <c r="D48" s="9"/>
      <c r="E48" s="11"/>
      <c r="F48" s="11"/>
    </row>
    <row r="49" spans="1:6" x14ac:dyDescent="0.25">
      <c r="A49" s="21"/>
      <c r="B49" s="15" t="s">
        <v>23</v>
      </c>
      <c r="C49" s="22">
        <v>25000</v>
      </c>
      <c r="D49" s="10"/>
      <c r="E49" s="12"/>
      <c r="F49" s="12"/>
    </row>
    <row r="50" spans="1:6" x14ac:dyDescent="0.25">
      <c r="A50" s="21"/>
      <c r="B50" s="15" t="s">
        <v>24</v>
      </c>
      <c r="C50" s="22">
        <v>20000</v>
      </c>
      <c r="D50" s="10"/>
      <c r="E50" s="12"/>
      <c r="F50" s="12"/>
    </row>
    <row r="51" spans="1:6" x14ac:dyDescent="0.25">
      <c r="A51" s="21"/>
      <c r="B51" s="28" t="s">
        <v>36</v>
      </c>
      <c r="C51" s="22">
        <f>C46-SUM(C48:C50)</f>
        <v>355000</v>
      </c>
      <c r="D51" s="10"/>
      <c r="E51" s="9"/>
      <c r="F51" s="12"/>
    </row>
    <row r="52" spans="1:6" x14ac:dyDescent="0.25">
      <c r="A52" s="21"/>
      <c r="B52" s="16" t="s">
        <v>0</v>
      </c>
      <c r="C52" s="22"/>
      <c r="D52" s="10"/>
      <c r="E52" s="12"/>
      <c r="F52" s="12"/>
    </row>
    <row r="53" spans="1:6" x14ac:dyDescent="0.25">
      <c r="A53" s="21"/>
      <c r="B53" s="17" t="s">
        <v>44</v>
      </c>
      <c r="C53" s="22">
        <v>0</v>
      </c>
      <c r="D53" s="10"/>
      <c r="E53" s="12"/>
      <c r="F53" s="12"/>
    </row>
    <row r="54" spans="1:6" x14ac:dyDescent="0.25">
      <c r="A54" s="21"/>
      <c r="B54" s="17" t="s">
        <v>45</v>
      </c>
      <c r="C54" s="22">
        <f>(C51-250000)*15%</f>
        <v>15750</v>
      </c>
      <c r="D54" s="10"/>
      <c r="E54" s="9"/>
      <c r="F54" s="12"/>
    </row>
    <row r="55" spans="1:6" x14ac:dyDescent="0.25">
      <c r="A55" s="21"/>
      <c r="B55" s="25" t="s">
        <v>2</v>
      </c>
      <c r="C55" s="22"/>
    </row>
    <row r="56" spans="1:6" x14ac:dyDescent="0.25">
      <c r="A56" s="21"/>
      <c r="B56" s="26" t="s">
        <v>26</v>
      </c>
      <c r="C56" s="23">
        <v>55000</v>
      </c>
    </row>
    <row r="57" spans="1:6" ht="15.75" thickBot="1" x14ac:dyDescent="0.3">
      <c r="A57" s="24"/>
      <c r="B57" s="27" t="s">
        <v>33</v>
      </c>
      <c r="C57" s="39">
        <f>SUM(C53:C54)-C56</f>
        <v>-39250</v>
      </c>
    </row>
    <row r="58" spans="1:6" ht="15.75" thickBot="1" x14ac:dyDescent="0.3"/>
    <row r="59" spans="1:6" x14ac:dyDescent="0.25">
      <c r="A59" s="18" t="s">
        <v>1</v>
      </c>
      <c r="B59" s="19" t="s">
        <v>22</v>
      </c>
      <c r="C59" s="20">
        <v>450000</v>
      </c>
    </row>
    <row r="60" spans="1:6" x14ac:dyDescent="0.25">
      <c r="B60" s="2" t="s">
        <v>43</v>
      </c>
    </row>
    <row r="61" spans="1:6" x14ac:dyDescent="0.25">
      <c r="A61" s="21"/>
      <c r="B61" s="15" t="s">
        <v>28</v>
      </c>
      <c r="C61" s="22">
        <v>50000</v>
      </c>
    </row>
    <row r="62" spans="1:6" x14ac:dyDescent="0.25">
      <c r="A62" s="21"/>
      <c r="B62" s="15" t="s">
        <v>29</v>
      </c>
      <c r="C62" s="22">
        <v>20000</v>
      </c>
    </row>
    <row r="63" spans="1:6" x14ac:dyDescent="0.25">
      <c r="A63" s="21"/>
      <c r="B63" s="15" t="s">
        <v>31</v>
      </c>
      <c r="C63" s="22">
        <v>25000</v>
      </c>
      <c r="E63" s="4"/>
    </row>
    <row r="64" spans="1:6" x14ac:dyDescent="0.25">
      <c r="A64" s="21"/>
    </row>
    <row r="65" spans="1:6" x14ac:dyDescent="0.25">
      <c r="A65" s="21"/>
      <c r="B65" s="28" t="s">
        <v>36</v>
      </c>
      <c r="C65" s="22">
        <f>C59-SUM(C61:C63)</f>
        <v>355000</v>
      </c>
    </row>
    <row r="66" spans="1:6" x14ac:dyDescent="0.25">
      <c r="A66" s="21"/>
      <c r="B66" s="16" t="s">
        <v>0</v>
      </c>
      <c r="C66" s="22"/>
    </row>
    <row r="67" spans="1:6" x14ac:dyDescent="0.25">
      <c r="A67" s="21"/>
      <c r="B67" s="17" t="s">
        <v>44</v>
      </c>
      <c r="C67" s="22">
        <v>0</v>
      </c>
    </row>
    <row r="68" spans="1:6" x14ac:dyDescent="0.25">
      <c r="A68" s="21"/>
      <c r="B68" s="17" t="s">
        <v>46</v>
      </c>
      <c r="C68" s="22">
        <f>(C65-250000)*15%</f>
        <v>15750</v>
      </c>
      <c r="E68" s="4"/>
    </row>
    <row r="69" spans="1:6" ht="15.75" thickBot="1" x14ac:dyDescent="0.3">
      <c r="A69" s="24"/>
      <c r="B69" s="27" t="s">
        <v>33</v>
      </c>
      <c r="C69" s="39">
        <f>SUM(C67:C68)-C122</f>
        <v>15750</v>
      </c>
      <c r="E69" s="4"/>
    </row>
    <row r="70" spans="1:6" x14ac:dyDescent="0.25">
      <c r="B70" s="15" t="s">
        <v>30</v>
      </c>
      <c r="C70" s="22">
        <v>15000</v>
      </c>
    </row>
    <row r="75" spans="1:6" x14ac:dyDescent="0.25">
      <c r="E75" s="2"/>
      <c r="F75" s="1"/>
    </row>
    <row r="76" spans="1:6" x14ac:dyDescent="0.25">
      <c r="F76" s="1"/>
    </row>
    <row r="77" spans="1:6" x14ac:dyDescent="0.25">
      <c r="F77" s="1"/>
    </row>
    <row r="78" spans="1:6" x14ac:dyDescent="0.25">
      <c r="F78" s="1"/>
    </row>
    <row r="79" spans="1:6" x14ac:dyDescent="0.25">
      <c r="E79" s="5"/>
      <c r="F79" s="1"/>
    </row>
    <row r="80" spans="1:6" x14ac:dyDescent="0.25">
      <c r="F80" s="4"/>
    </row>
    <row r="81" spans="5:6" x14ac:dyDescent="0.25">
      <c r="E81" s="8"/>
      <c r="F81" s="1"/>
    </row>
    <row r="82" spans="5:6" x14ac:dyDescent="0.25">
      <c r="E82" s="4"/>
      <c r="F82" s="4"/>
    </row>
    <row r="83" spans="5:6" x14ac:dyDescent="0.25">
      <c r="F83" s="4"/>
    </row>
    <row r="96" spans="5:6" x14ac:dyDescent="0.25">
      <c r="E96" s="4"/>
    </row>
    <row r="98" spans="2:3" x14ac:dyDescent="0.25">
      <c r="B98" s="6"/>
      <c r="C98" s="7"/>
    </row>
  </sheetData>
  <mergeCells count="3">
    <mergeCell ref="A2:C2"/>
    <mergeCell ref="A1:C1"/>
    <mergeCell ref="E2:F2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QUIZ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Asrio</dc:creator>
  <cp:lastModifiedBy>Asrio</cp:lastModifiedBy>
  <dcterms:created xsi:type="dcterms:W3CDTF">2023-11-19T13:41:02Z</dcterms:created>
  <dcterms:modified xsi:type="dcterms:W3CDTF">2023-12-01T02:25:27Z</dcterms:modified>
</cp:coreProperties>
</file>